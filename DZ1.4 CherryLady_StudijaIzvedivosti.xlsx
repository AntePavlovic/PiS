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tep\OneDrive\Desktop\"/>
    </mc:Choice>
  </mc:AlternateContent>
  <xr:revisionPtr revIDLastSave="0" documentId="8_{85315102-13F1-4756-9CF8-2512213963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aliza izvedivosti" sheetId="1" r:id="rId1"/>
    <sheet name="Analiza troškov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2" l="1"/>
  <c r="E41" i="2" s="1"/>
  <c r="D40" i="2"/>
  <c r="D41" i="2" s="1"/>
  <c r="C40" i="2"/>
  <c r="C41" i="2" s="1"/>
  <c r="B40" i="2"/>
  <c r="B41" i="2" s="1"/>
  <c r="B42" i="2" s="1"/>
  <c r="C42" i="2" s="1"/>
  <c r="E31" i="2"/>
  <c r="D31" i="2"/>
  <c r="C31" i="2"/>
  <c r="B31" i="2"/>
  <c r="D19" i="2"/>
  <c r="D18" i="2"/>
  <c r="D17" i="2"/>
  <c r="D10" i="2"/>
  <c r="D7" i="2"/>
  <c r="D6" i="2"/>
  <c r="D5" i="2"/>
  <c r="D4" i="2"/>
  <c r="D20" i="2" s="1"/>
  <c r="F19" i="1"/>
  <c r="E19" i="1"/>
  <c r="D19" i="1"/>
  <c r="C19" i="1"/>
  <c r="F13" i="1"/>
  <c r="E13" i="1"/>
  <c r="D13" i="1"/>
  <c r="C13" i="1"/>
  <c r="F7" i="1"/>
  <c r="E7" i="1"/>
  <c r="D7" i="1"/>
  <c r="C7" i="1"/>
  <c r="C43" i="2" l="1"/>
  <c r="D42" i="2"/>
  <c r="D43" i="2" l="1"/>
  <c r="E42" i="2"/>
  <c r="E43" i="2" s="1"/>
</calcChain>
</file>

<file path=xl/sharedStrings.xml><?xml version="1.0" encoding="utf-8"?>
<sst xmlns="http://schemas.openxmlformats.org/spreadsheetml/2006/main" count="105" uniqueCount="77">
  <si>
    <t>Analiza izvedivosti</t>
  </si>
  <si>
    <t>Kriterij</t>
  </si>
  <si>
    <t>Modul klijenata</t>
  </si>
  <si>
    <t>Modul rasporeda</t>
  </si>
  <si>
    <t>Modul računa</t>
  </si>
  <si>
    <t>Modul skladišta</t>
  </si>
  <si>
    <t>Izrada vlastitog</t>
  </si>
  <si>
    <t>Operativna</t>
  </si>
  <si>
    <t>Tehnička</t>
  </si>
  <si>
    <t>Vremenska</t>
  </si>
  <si>
    <t>Ekonomska</t>
  </si>
  <si>
    <t>Ocjena alternative</t>
  </si>
  <si>
    <t>Nabava gotovog</t>
  </si>
  <si>
    <t>Nadogradnja postojećeg (Excel)</t>
  </si>
  <si>
    <t>Komentar: Nadogradnja Excel tablica kratkoročno je najjeftinije rješenje, ali ne rješava temeljne probleme: nema automatskih upozorenja, višekorisničkog pristupa u stvarnom vremenu ni strukturirane povijesti tretmana klijenata. Skalabilnost praktički ne postoji.</t>
  </si>
  <si>
    <t>Konačni prijedlog alternative</t>
  </si>
  <si>
    <t>Alternativa</t>
  </si>
  <si>
    <t>Status</t>
  </si>
  <si>
    <t>Izabrano</t>
  </si>
  <si>
    <t>x</t>
  </si>
  <si>
    <t>Ljudski rad</t>
  </si>
  <si>
    <t>Funkcija</t>
  </si>
  <si>
    <t>Količina (sati)</t>
  </si>
  <si>
    <t>Cijena (po satu, KM)</t>
  </si>
  <si>
    <t>Ukupno (KM)</t>
  </si>
  <si>
    <t>Analitičar sustava / voditelj</t>
  </si>
  <si>
    <t>Programer - backend</t>
  </si>
  <si>
    <t>Programer - frontend</t>
  </si>
  <si>
    <t>Pisac dokumentacije</t>
  </si>
  <si>
    <t>Edukacije</t>
  </si>
  <si>
    <t>Vrsta</t>
  </si>
  <si>
    <t>Količina (dana)</t>
  </si>
  <si>
    <t>Cijena (po danu, KM)</t>
  </si>
  <si>
    <t>Obuka djelatnika salona (UAT faza)</t>
  </si>
  <si>
    <t>Materijal</t>
  </si>
  <si>
    <t>Cijena (KM)</t>
  </si>
  <si>
    <t>Korisnička i tehnička dokumentacija</t>
  </si>
  <si>
    <t>Potrošni materijal i ispisi</t>
  </si>
  <si>
    <t>Oprema i infrastruktura</t>
  </si>
  <si>
    <t>Količina</t>
  </si>
  <si>
    <t>Cijena (po komadu, KM)</t>
  </si>
  <si>
    <t>VPS hosting - godišnja naknada</t>
  </si>
  <si>
    <t>Razvojni alati i licence (open-source)</t>
  </si>
  <si>
    <t>Testno okruženje i UAT</t>
  </si>
  <si>
    <t>UKUPNO</t>
  </si>
  <si>
    <t>Analiza povrata investicije (ROI) - projekcija 4 godine</t>
  </si>
  <si>
    <t>Stavka</t>
  </si>
  <si>
    <t>Godina 0 (2025)</t>
  </si>
  <si>
    <t>Godina 1 (2026)</t>
  </si>
  <si>
    <t>Godina 2 (2027)</t>
  </si>
  <si>
    <t>Godina 3 (2028)</t>
  </si>
  <si>
    <t>TROŠKOVI (KM)</t>
  </si>
  <si>
    <t>Razvoj sustava (rad tima)</t>
  </si>
  <si>
    <t>Infrastruktura - VPS hosting</t>
  </si>
  <si>
    <t>Edukacija korisnika</t>
  </si>
  <si>
    <t>Dokumentacija i materijal</t>
  </si>
  <si>
    <t>Testiranje i UAT</t>
  </si>
  <si>
    <t>Godišnje održavanje i podrška</t>
  </si>
  <si>
    <t>Nepredviđeni troškovi (~10%)</t>
  </si>
  <si>
    <t>Ukupni troškovi</t>
  </si>
  <si>
    <t>KORISTI (KM)</t>
  </si>
  <si>
    <t>Ušteda administrativnog rada (evidencija)</t>
  </si>
  <si>
    <t>Smanjenje pogrešaka pri naplati</t>
  </si>
  <si>
    <t>Bolje upravljanje zalihama (manje prekomjerne nabave)</t>
  </si>
  <si>
    <t>Smanjenje nepotrebnih termina i propuštenih dolazaka</t>
  </si>
  <si>
    <t>Smanjenje papirnih i materijalnih troškova</t>
  </si>
  <si>
    <t>Potencijal licenciranja drugim salonima</t>
  </si>
  <si>
    <t>Povećana lojalnost klijenata (procjena prihoda)</t>
  </si>
  <si>
    <t>Ukupne koristi</t>
  </si>
  <si>
    <t>Neto korist (KM)</t>
  </si>
  <si>
    <t>Kumulativna neto korist (KM)</t>
  </si>
  <si>
    <t>ROI (%)</t>
  </si>
  <si>
    <t>-</t>
  </si>
  <si>
    <t>Komentar: Vlastiti razvoj daje potpunu prilagodbu procesima salona CherryLady: evidencija klijenata s poviješću tretmana, prikaz dnevnog rasporeda, automatsko generiranje računa i praćenje zaliha u stvarnom vremenu. Tim raspolaže potrebnim znanjem.</t>
  </si>
  <si>
    <t>Komentar: Modul klijenata treće rješenje (nadogradnja postojećeg) postiže sličnu ekonomsku ocjenu kao i prvo rješenje (izrada vlastitog), no vlastiti razvoj izabran je jer jedino ono osigurava potpunu integraciju svih modula – rasporeda, računa i skladišta – u jedinstven sustav prilagođen procesima salona CherryLady.</t>
  </si>
  <si>
    <t>Komentar: Generička rješenja za upravljanje salonima ne pokrivaju specifičnosti salona CherryLady: nema prilagođenog upravljanja skladištem, ograničena kontrola nad podacima klijenata. Godišnje licencne naknade predstavljaju trajan trošak za mali salon.</t>
  </si>
  <si>
    <t>Analiza troškova - CherryLady (Izrada vlastitog sustava)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</si>
</sst>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i/>
      <sz val="11"/>
      <color rgb="FF000000"/>
      <name val="Arial"/>
    </font>
    <font>
      <b/>
      <sz val="12"/>
      <color rgb="FFFFFFFF"/>
      <name val="Arial"/>
    </font>
    <font>
      <b/>
      <sz val="12"/>
      <color rgb="FF000000"/>
      <name val="Arial"/>
    </font>
    <font>
      <sz val="11"/>
      <color rgb="FF0000FF"/>
      <name val="Arial"/>
    </font>
    <font>
      <b/>
      <sz val="11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BDD7EE"/>
        <bgColor rgb="FFBDD7EE"/>
      </patternFill>
    </fill>
    <fill>
      <patternFill patternType="solid">
        <fgColor rgb="FFDEEAF1"/>
        <bgColor rgb="FFDEEAF1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4B183"/>
        <bgColor rgb="FFF4B183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opLeftCell="A7" workbookViewId="0">
      <selection activeCell="A14" sqref="A14:F14"/>
    </sheetView>
  </sheetViews>
  <sheetFormatPr defaultRowHeight="14.4" x14ac:dyDescent="0.3"/>
  <cols>
    <col min="1" max="1" width="30" customWidth="1"/>
    <col min="2" max="6" width="22" customWidth="1"/>
  </cols>
  <sheetData>
    <row r="1" spans="1:6" ht="18" customHeight="1" x14ac:dyDescent="0.3">
      <c r="A1" s="29" t="s">
        <v>0</v>
      </c>
      <c r="B1" s="27"/>
      <c r="C1" s="27"/>
      <c r="D1" s="27"/>
      <c r="E1" s="27"/>
      <c r="F1" s="27"/>
    </row>
    <row r="2" spans="1:6" x14ac:dyDescent="0.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8" customHeight="1" x14ac:dyDescent="0.3">
      <c r="A3" s="30" t="s">
        <v>6</v>
      </c>
      <c r="B3" s="2" t="s">
        <v>7</v>
      </c>
      <c r="C3" s="3">
        <v>3</v>
      </c>
      <c r="D3" s="3">
        <v>3</v>
      </c>
      <c r="E3" s="3">
        <v>3</v>
      </c>
      <c r="F3" s="3">
        <v>3</v>
      </c>
    </row>
    <row r="4" spans="1:6" x14ac:dyDescent="0.3">
      <c r="A4" s="27"/>
      <c r="B4" s="2" t="s">
        <v>8</v>
      </c>
      <c r="C4" s="3">
        <v>3</v>
      </c>
      <c r="D4" s="3">
        <v>3</v>
      </c>
      <c r="E4" s="3">
        <v>3</v>
      </c>
      <c r="F4" s="3">
        <v>2</v>
      </c>
    </row>
    <row r="5" spans="1:6" x14ac:dyDescent="0.3">
      <c r="A5" s="27"/>
      <c r="B5" s="2" t="s">
        <v>9</v>
      </c>
      <c r="C5" s="3">
        <v>2</v>
      </c>
      <c r="D5" s="3">
        <v>2</v>
      </c>
      <c r="E5" s="3">
        <v>2</v>
      </c>
      <c r="F5" s="3">
        <v>2</v>
      </c>
    </row>
    <row r="6" spans="1:6" x14ac:dyDescent="0.3">
      <c r="A6" s="27"/>
      <c r="B6" s="2" t="s">
        <v>10</v>
      </c>
      <c r="C6" s="3">
        <v>3</v>
      </c>
      <c r="D6" s="3">
        <v>2</v>
      </c>
      <c r="E6" s="3">
        <v>2</v>
      </c>
      <c r="F6" s="3">
        <v>2</v>
      </c>
    </row>
    <row r="7" spans="1:6" x14ac:dyDescent="0.3">
      <c r="A7" s="4" t="s">
        <v>6</v>
      </c>
      <c r="B7" s="4" t="s">
        <v>11</v>
      </c>
      <c r="C7" s="1">
        <f>AVERAGE(C3:C6)</f>
        <v>2.75</v>
      </c>
      <c r="D7" s="1">
        <f>AVERAGE(D3:D6)</f>
        <v>2.5</v>
      </c>
      <c r="E7" s="1">
        <f>AVERAGE(E3:E6)</f>
        <v>2.5</v>
      </c>
      <c r="F7" s="1">
        <f>AVERAGE(F3:F6)</f>
        <v>2.25</v>
      </c>
    </row>
    <row r="8" spans="1:6" ht="49.95" customHeight="1" x14ac:dyDescent="0.3">
      <c r="A8" s="28" t="s">
        <v>73</v>
      </c>
      <c r="B8" s="27"/>
      <c r="C8" s="27"/>
      <c r="D8" s="27"/>
      <c r="E8" s="27"/>
      <c r="F8" s="27"/>
    </row>
    <row r="9" spans="1:6" ht="18" customHeight="1" x14ac:dyDescent="0.3">
      <c r="A9" s="26" t="s">
        <v>12</v>
      </c>
      <c r="B9" s="5" t="s">
        <v>7</v>
      </c>
      <c r="C9" s="6">
        <v>1</v>
      </c>
      <c r="D9" s="6">
        <v>2</v>
      </c>
      <c r="E9" s="6">
        <v>1</v>
      </c>
      <c r="F9" s="6">
        <v>2</v>
      </c>
    </row>
    <row r="10" spans="1:6" x14ac:dyDescent="0.3">
      <c r="A10" s="27"/>
      <c r="B10" s="5" t="s">
        <v>8</v>
      </c>
      <c r="C10" s="6">
        <v>2</v>
      </c>
      <c r="D10" s="6">
        <v>2</v>
      </c>
      <c r="E10" s="6">
        <v>2</v>
      </c>
      <c r="F10" s="6">
        <v>2</v>
      </c>
    </row>
    <row r="11" spans="1:6" x14ac:dyDescent="0.3">
      <c r="A11" s="27"/>
      <c r="B11" s="5" t="s">
        <v>9</v>
      </c>
      <c r="C11" s="6">
        <v>3</v>
      </c>
      <c r="D11" s="6">
        <v>3</v>
      </c>
      <c r="E11" s="6">
        <v>3</v>
      </c>
      <c r="F11" s="6">
        <v>3</v>
      </c>
    </row>
    <row r="12" spans="1:6" x14ac:dyDescent="0.3">
      <c r="A12" s="27"/>
      <c r="B12" s="5" t="s">
        <v>10</v>
      </c>
      <c r="C12" s="6">
        <v>1</v>
      </c>
      <c r="D12" s="6">
        <v>1</v>
      </c>
      <c r="E12" s="6">
        <v>1</v>
      </c>
      <c r="F12" s="6">
        <v>2</v>
      </c>
    </row>
    <row r="13" spans="1:6" x14ac:dyDescent="0.3">
      <c r="A13" s="7" t="s">
        <v>12</v>
      </c>
      <c r="B13" s="7" t="s">
        <v>11</v>
      </c>
      <c r="C13" s="8">
        <f>AVERAGE(C9:C12)</f>
        <v>1.75</v>
      </c>
      <c r="D13" s="8">
        <f>AVERAGE(D9:D12)</f>
        <v>2</v>
      </c>
      <c r="E13" s="8">
        <f>AVERAGE(E9:E12)</f>
        <v>1.75</v>
      </c>
      <c r="F13" s="8">
        <f>AVERAGE(F9:F12)</f>
        <v>2.25</v>
      </c>
    </row>
    <row r="14" spans="1:6" ht="49.95" customHeight="1" x14ac:dyDescent="0.3">
      <c r="A14" s="28" t="s">
        <v>75</v>
      </c>
      <c r="B14" s="27"/>
      <c r="C14" s="27"/>
      <c r="D14" s="27"/>
      <c r="E14" s="27"/>
      <c r="F14" s="27"/>
    </row>
    <row r="15" spans="1:6" ht="18" customHeight="1" x14ac:dyDescent="0.3">
      <c r="A15" s="31" t="s">
        <v>13</v>
      </c>
      <c r="B15" s="9" t="s">
        <v>7</v>
      </c>
      <c r="C15" s="10">
        <v>2</v>
      </c>
      <c r="D15" s="10">
        <v>1</v>
      </c>
      <c r="E15" s="10">
        <v>1</v>
      </c>
      <c r="F15" s="10">
        <v>1</v>
      </c>
    </row>
    <row r="16" spans="1:6" x14ac:dyDescent="0.3">
      <c r="A16" s="27"/>
      <c r="B16" s="9" t="s">
        <v>8</v>
      </c>
      <c r="C16" s="10">
        <v>3</v>
      </c>
      <c r="D16" s="10">
        <v>2</v>
      </c>
      <c r="E16" s="10">
        <v>1</v>
      </c>
      <c r="F16" s="10">
        <v>2</v>
      </c>
    </row>
    <row r="17" spans="1:6" x14ac:dyDescent="0.3">
      <c r="A17" s="27"/>
      <c r="B17" s="9" t="s">
        <v>9</v>
      </c>
      <c r="C17" s="10">
        <v>3</v>
      </c>
      <c r="D17" s="10">
        <v>3</v>
      </c>
      <c r="E17" s="10">
        <v>2</v>
      </c>
      <c r="F17" s="10">
        <v>3</v>
      </c>
    </row>
    <row r="18" spans="1:6" x14ac:dyDescent="0.3">
      <c r="A18" s="27"/>
      <c r="B18" s="9" t="s">
        <v>10</v>
      </c>
      <c r="C18" s="10">
        <v>3</v>
      </c>
      <c r="D18" s="10">
        <v>3</v>
      </c>
      <c r="E18" s="10">
        <v>3</v>
      </c>
      <c r="F18" s="10">
        <v>3</v>
      </c>
    </row>
    <row r="19" spans="1:6" x14ac:dyDescent="0.3">
      <c r="A19" s="11" t="s">
        <v>13</v>
      </c>
      <c r="B19" s="11" t="s">
        <v>11</v>
      </c>
      <c r="C19" s="12">
        <f>AVERAGE(C15:C18)</f>
        <v>2.75</v>
      </c>
      <c r="D19" s="12">
        <f>AVERAGE(D15:D18)</f>
        <v>2.25</v>
      </c>
      <c r="E19" s="12">
        <f>AVERAGE(E15:E18)</f>
        <v>1.75</v>
      </c>
      <c r="F19" s="12">
        <f>AVERAGE(F15:F18)</f>
        <v>2.25</v>
      </c>
    </row>
    <row r="20" spans="1:6" ht="49.95" customHeight="1" x14ac:dyDescent="0.3">
      <c r="A20" s="28" t="s">
        <v>14</v>
      </c>
      <c r="B20" s="27"/>
      <c r="C20" s="27"/>
      <c r="D20" s="27"/>
      <c r="E20" s="27"/>
      <c r="F20" s="27"/>
    </row>
    <row r="21" spans="1:6" ht="18" customHeight="1" x14ac:dyDescent="0.3">
      <c r="A21" s="32" t="s">
        <v>15</v>
      </c>
      <c r="B21" s="27"/>
      <c r="C21" s="27"/>
      <c r="D21" s="27"/>
      <c r="E21" s="27"/>
      <c r="F21" s="27"/>
    </row>
    <row r="22" spans="1:6" ht="18" customHeight="1" x14ac:dyDescent="0.3">
      <c r="A22" s="1" t="s">
        <v>16</v>
      </c>
      <c r="B22" s="1" t="s">
        <v>17</v>
      </c>
      <c r="C22" s="1" t="s">
        <v>2</v>
      </c>
      <c r="D22" s="1" t="s">
        <v>3</v>
      </c>
      <c r="E22" s="1" t="s">
        <v>4</v>
      </c>
      <c r="F22" s="1" t="s">
        <v>5</v>
      </c>
    </row>
    <row r="23" spans="1:6" ht="18" customHeight="1" x14ac:dyDescent="0.3">
      <c r="A23" s="6" t="s">
        <v>6</v>
      </c>
      <c r="B23" s="6" t="s">
        <v>18</v>
      </c>
      <c r="C23" s="6" t="s">
        <v>19</v>
      </c>
      <c r="D23" s="6" t="s">
        <v>19</v>
      </c>
      <c r="E23" s="6" t="s">
        <v>19</v>
      </c>
      <c r="F23" s="6" t="s">
        <v>19</v>
      </c>
    </row>
    <row r="24" spans="1:6" ht="18" customHeight="1" x14ac:dyDescent="0.3">
      <c r="A24" s="13" t="s">
        <v>12</v>
      </c>
      <c r="B24" s="13"/>
      <c r="C24" s="13"/>
      <c r="D24" s="13"/>
      <c r="E24" s="13"/>
      <c r="F24" s="13"/>
    </row>
    <row r="25" spans="1:6" ht="45" customHeight="1" x14ac:dyDescent="0.3">
      <c r="A25" s="10" t="s">
        <v>13</v>
      </c>
      <c r="B25" s="10"/>
      <c r="C25" s="10" t="s">
        <v>19</v>
      </c>
      <c r="D25" s="10"/>
      <c r="E25" s="10"/>
      <c r="F25" s="10"/>
    </row>
    <row r="26" spans="1:6" ht="55.05" customHeight="1" x14ac:dyDescent="0.3">
      <c r="A26" s="28" t="s">
        <v>74</v>
      </c>
      <c r="B26" s="27"/>
      <c r="C26" s="27"/>
      <c r="D26" s="27"/>
      <c r="E26" s="27"/>
      <c r="F26" s="27"/>
    </row>
  </sheetData>
  <mergeCells count="9">
    <mergeCell ref="A26:F26"/>
    <mergeCell ref="A15:A18"/>
    <mergeCell ref="A20:F20"/>
    <mergeCell ref="A21:F21"/>
    <mergeCell ref="A9:A12"/>
    <mergeCell ref="A14:F14"/>
    <mergeCell ref="A1:F1"/>
    <mergeCell ref="A8:F8"/>
    <mergeCell ref="A3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tabSelected="1" topLeftCell="A33" workbookViewId="0">
      <selection activeCell="C43" sqref="C43"/>
    </sheetView>
  </sheetViews>
  <sheetFormatPr defaultRowHeight="14.4" x14ac:dyDescent="0.3"/>
  <cols>
    <col min="1" max="1" width="42" customWidth="1"/>
    <col min="2" max="5" width="20" customWidth="1"/>
  </cols>
  <sheetData>
    <row r="1" spans="1:4" ht="17.399999999999999" x14ac:dyDescent="0.3">
      <c r="A1" s="29" t="s">
        <v>76</v>
      </c>
      <c r="B1" s="27"/>
      <c r="C1" s="27"/>
      <c r="D1" s="27"/>
    </row>
    <row r="2" spans="1:4" ht="15.6" x14ac:dyDescent="0.3">
      <c r="A2" s="34" t="s">
        <v>20</v>
      </c>
      <c r="B2" s="27"/>
      <c r="C2" s="27"/>
      <c r="D2" s="27"/>
    </row>
    <row r="3" spans="1:4" x14ac:dyDescent="0.3">
      <c r="A3" s="1" t="s">
        <v>21</v>
      </c>
      <c r="B3" s="1" t="s">
        <v>22</v>
      </c>
      <c r="C3" s="1" t="s">
        <v>23</v>
      </c>
      <c r="D3" s="1" t="s">
        <v>24</v>
      </c>
    </row>
    <row r="4" spans="1:4" x14ac:dyDescent="0.3">
      <c r="A4" s="14" t="s">
        <v>25</v>
      </c>
      <c r="B4" s="15">
        <v>240</v>
      </c>
      <c r="C4" s="15">
        <v>15</v>
      </c>
      <c r="D4" s="16">
        <f>B4*C4</f>
        <v>3600</v>
      </c>
    </row>
    <row r="5" spans="1:4" x14ac:dyDescent="0.3">
      <c r="A5" s="14" t="s">
        <v>26</v>
      </c>
      <c r="B5" s="15">
        <v>210</v>
      </c>
      <c r="C5" s="15">
        <v>15</v>
      </c>
      <c r="D5" s="16">
        <f>B5*C5</f>
        <v>3150</v>
      </c>
    </row>
    <row r="6" spans="1:4" x14ac:dyDescent="0.3">
      <c r="A6" s="14" t="s">
        <v>27</v>
      </c>
      <c r="B6" s="15">
        <v>180</v>
      </c>
      <c r="C6" s="15">
        <v>15</v>
      </c>
      <c r="D6" s="16">
        <f>B6*C6</f>
        <v>2700</v>
      </c>
    </row>
    <row r="7" spans="1:4" x14ac:dyDescent="0.3">
      <c r="A7" s="14" t="s">
        <v>28</v>
      </c>
      <c r="B7" s="15">
        <v>50</v>
      </c>
      <c r="C7" s="15">
        <v>10</v>
      </c>
      <c r="D7" s="16">
        <f>B7*C7</f>
        <v>500</v>
      </c>
    </row>
    <row r="8" spans="1:4" ht="15.6" x14ac:dyDescent="0.3">
      <c r="A8" s="33" t="s">
        <v>29</v>
      </c>
      <c r="B8" s="27"/>
      <c r="C8" s="27"/>
      <c r="D8" s="27"/>
    </row>
    <row r="9" spans="1:4" x14ac:dyDescent="0.3">
      <c r="A9" s="17" t="s">
        <v>30</v>
      </c>
      <c r="B9" s="17" t="s">
        <v>31</v>
      </c>
      <c r="C9" s="17" t="s">
        <v>32</v>
      </c>
      <c r="D9" s="17" t="s">
        <v>24</v>
      </c>
    </row>
    <row r="10" spans="1:4" x14ac:dyDescent="0.3">
      <c r="A10" s="14" t="s">
        <v>33</v>
      </c>
      <c r="B10" s="15">
        <v>2</v>
      </c>
      <c r="C10" s="15">
        <v>200</v>
      </c>
      <c r="D10" s="16">
        <f>B10*C10</f>
        <v>400</v>
      </c>
    </row>
    <row r="11" spans="1:4" ht="15.6" x14ac:dyDescent="0.3">
      <c r="A11" s="37" t="s">
        <v>34</v>
      </c>
      <c r="B11" s="27"/>
      <c r="C11" s="27"/>
      <c r="D11" s="27"/>
    </row>
    <row r="12" spans="1:4" x14ac:dyDescent="0.3">
      <c r="A12" s="18" t="s">
        <v>30</v>
      </c>
      <c r="B12" s="18"/>
      <c r="C12" s="18"/>
      <c r="D12" s="18" t="s">
        <v>35</v>
      </c>
    </row>
    <row r="13" spans="1:4" x14ac:dyDescent="0.3">
      <c r="A13" s="14" t="s">
        <v>36</v>
      </c>
      <c r="D13" s="15">
        <v>300</v>
      </c>
    </row>
    <row r="14" spans="1:4" x14ac:dyDescent="0.3">
      <c r="A14" s="14" t="s">
        <v>37</v>
      </c>
      <c r="D14" s="15">
        <v>100</v>
      </c>
    </row>
    <row r="15" spans="1:4" ht="15.6" x14ac:dyDescent="0.3">
      <c r="A15" s="34" t="s">
        <v>38</v>
      </c>
      <c r="B15" s="27"/>
      <c r="C15" s="27"/>
      <c r="D15" s="27"/>
    </row>
    <row r="16" spans="1:4" x14ac:dyDescent="0.3">
      <c r="A16" s="1" t="s">
        <v>30</v>
      </c>
      <c r="B16" s="1" t="s">
        <v>39</v>
      </c>
      <c r="C16" s="1" t="s">
        <v>40</v>
      </c>
      <c r="D16" s="1" t="s">
        <v>24</v>
      </c>
    </row>
    <row r="17" spans="1:5" x14ac:dyDescent="0.3">
      <c r="A17" s="14" t="s">
        <v>41</v>
      </c>
      <c r="B17" s="15">
        <v>1</v>
      </c>
      <c r="C17" s="15">
        <v>600</v>
      </c>
      <c r="D17" s="16">
        <f>B17*C17</f>
        <v>600</v>
      </c>
    </row>
    <row r="18" spans="1:5" x14ac:dyDescent="0.3">
      <c r="A18" s="14" t="s">
        <v>42</v>
      </c>
      <c r="B18" s="15">
        <v>1</v>
      </c>
      <c r="C18" s="15">
        <v>0</v>
      </c>
      <c r="D18" s="16">
        <f>B18*C18</f>
        <v>0</v>
      </c>
    </row>
    <row r="19" spans="1:5" x14ac:dyDescent="0.3">
      <c r="A19" s="14" t="s">
        <v>43</v>
      </c>
      <c r="B19" s="15">
        <v>1</v>
      </c>
      <c r="C19" s="15">
        <v>200</v>
      </c>
      <c r="D19" s="16">
        <f>B19*C19</f>
        <v>200</v>
      </c>
    </row>
    <row r="20" spans="1:5" ht="15.6" x14ac:dyDescent="0.3">
      <c r="A20" s="19" t="s">
        <v>44</v>
      </c>
      <c r="B20" s="20"/>
      <c r="C20" s="20"/>
      <c r="D20" s="21">
        <f>D4+D5+D6+D7+D10+D13+D14+D17+D18+D19</f>
        <v>11550</v>
      </c>
    </row>
    <row r="21" spans="1:5" ht="15.6" x14ac:dyDescent="0.3">
      <c r="A21" s="32" t="s">
        <v>45</v>
      </c>
      <c r="B21" s="27"/>
      <c r="C21" s="27"/>
      <c r="D21" s="27"/>
      <c r="E21" s="27"/>
    </row>
    <row r="22" spans="1:5" x14ac:dyDescent="0.3">
      <c r="A22" s="1" t="s">
        <v>46</v>
      </c>
      <c r="B22" s="1" t="s">
        <v>47</v>
      </c>
      <c r="C22" s="1" t="s">
        <v>48</v>
      </c>
      <c r="D22" s="1" t="s">
        <v>49</v>
      </c>
      <c r="E22" s="1" t="s">
        <v>50</v>
      </c>
    </row>
    <row r="23" spans="1:5" x14ac:dyDescent="0.3">
      <c r="A23" s="35" t="s">
        <v>51</v>
      </c>
      <c r="B23" s="27"/>
      <c r="C23" s="27"/>
      <c r="D23" s="27"/>
      <c r="E23" s="27"/>
    </row>
    <row r="24" spans="1:5" x14ac:dyDescent="0.3">
      <c r="A24" s="14" t="s">
        <v>52</v>
      </c>
      <c r="B24" s="15">
        <v>9700</v>
      </c>
      <c r="C24" s="15">
        <v>0</v>
      </c>
      <c r="D24" s="15">
        <v>0</v>
      </c>
      <c r="E24" s="15">
        <v>0</v>
      </c>
    </row>
    <row r="25" spans="1:5" x14ac:dyDescent="0.3">
      <c r="A25" s="14" t="s">
        <v>53</v>
      </c>
      <c r="B25" s="15">
        <v>600</v>
      </c>
      <c r="C25" s="15">
        <v>600</v>
      </c>
      <c r="D25" s="15">
        <v>600</v>
      </c>
      <c r="E25" s="15">
        <v>600</v>
      </c>
    </row>
    <row r="26" spans="1:5" x14ac:dyDescent="0.3">
      <c r="A26" s="14" t="s">
        <v>54</v>
      </c>
      <c r="B26" s="15">
        <v>400</v>
      </c>
      <c r="C26" s="15">
        <v>0</v>
      </c>
      <c r="D26" s="15">
        <v>0</v>
      </c>
      <c r="E26" s="15">
        <v>0</v>
      </c>
    </row>
    <row r="27" spans="1:5" x14ac:dyDescent="0.3">
      <c r="A27" s="14" t="s">
        <v>55</v>
      </c>
      <c r="B27" s="15">
        <v>400</v>
      </c>
      <c r="C27" s="15">
        <v>0</v>
      </c>
      <c r="D27" s="15">
        <v>0</v>
      </c>
      <c r="E27" s="15">
        <v>0</v>
      </c>
    </row>
    <row r="28" spans="1:5" x14ac:dyDescent="0.3">
      <c r="A28" s="14" t="s">
        <v>56</v>
      </c>
      <c r="B28" s="15">
        <v>200</v>
      </c>
      <c r="C28" s="15">
        <v>0</v>
      </c>
      <c r="D28" s="15">
        <v>0</v>
      </c>
      <c r="E28" s="15">
        <v>0</v>
      </c>
    </row>
    <row r="29" spans="1:5" x14ac:dyDescent="0.3">
      <c r="A29" s="14" t="s">
        <v>57</v>
      </c>
      <c r="B29" s="15">
        <v>0</v>
      </c>
      <c r="C29" s="15">
        <v>800</v>
      </c>
      <c r="D29" s="15">
        <v>800</v>
      </c>
      <c r="E29" s="15">
        <v>800</v>
      </c>
    </row>
    <row r="30" spans="1:5" x14ac:dyDescent="0.3">
      <c r="A30" s="14" t="s">
        <v>58</v>
      </c>
      <c r="B30" s="15">
        <v>880</v>
      </c>
      <c r="C30" s="15">
        <v>0</v>
      </c>
      <c r="D30" s="15">
        <v>0</v>
      </c>
      <c r="E30" s="15">
        <v>0</v>
      </c>
    </row>
    <row r="31" spans="1:5" x14ac:dyDescent="0.3">
      <c r="A31" s="4" t="s">
        <v>59</v>
      </c>
      <c r="B31" s="1">
        <f>SUM(B24:B30)</f>
        <v>12180</v>
      </c>
      <c r="C31" s="1">
        <f>SUM(C24:C30)</f>
        <v>1400</v>
      </c>
      <c r="D31" s="1">
        <f>SUM(D24:D30)</f>
        <v>1400</v>
      </c>
      <c r="E31" s="1">
        <f>SUM(E24:E30)</f>
        <v>1400</v>
      </c>
    </row>
    <row r="32" spans="1:5" x14ac:dyDescent="0.3">
      <c r="A32" s="36" t="s">
        <v>60</v>
      </c>
      <c r="B32" s="27"/>
      <c r="C32" s="27"/>
      <c r="D32" s="27"/>
      <c r="E32" s="27"/>
    </row>
    <row r="33" spans="1:5" x14ac:dyDescent="0.3">
      <c r="A33" s="14" t="s">
        <v>61</v>
      </c>
      <c r="B33" s="15">
        <v>0</v>
      </c>
      <c r="C33" s="15">
        <v>1200</v>
      </c>
      <c r="D33" s="15">
        <v>1200</v>
      </c>
      <c r="E33" s="15">
        <v>1200</v>
      </c>
    </row>
    <row r="34" spans="1:5" x14ac:dyDescent="0.3">
      <c r="A34" s="14" t="s">
        <v>62</v>
      </c>
      <c r="B34" s="15">
        <v>0</v>
      </c>
      <c r="C34" s="15">
        <v>800</v>
      </c>
      <c r="D34" s="15">
        <v>800</v>
      </c>
      <c r="E34" s="15">
        <v>800</v>
      </c>
    </row>
    <row r="35" spans="1:5" x14ac:dyDescent="0.3">
      <c r="A35" s="14" t="s">
        <v>63</v>
      </c>
      <c r="B35" s="15">
        <v>0</v>
      </c>
      <c r="C35" s="15">
        <v>600</v>
      </c>
      <c r="D35" s="15">
        <v>600</v>
      </c>
      <c r="E35" s="15">
        <v>600</v>
      </c>
    </row>
    <row r="36" spans="1:5" x14ac:dyDescent="0.3">
      <c r="A36" s="14" t="s">
        <v>64</v>
      </c>
      <c r="B36" s="15">
        <v>0</v>
      </c>
      <c r="C36" s="15">
        <v>500</v>
      </c>
      <c r="D36" s="15">
        <v>500</v>
      </c>
      <c r="E36" s="15">
        <v>500</v>
      </c>
    </row>
    <row r="37" spans="1:5" x14ac:dyDescent="0.3">
      <c r="A37" s="14" t="s">
        <v>65</v>
      </c>
      <c r="B37" s="15">
        <v>0</v>
      </c>
      <c r="C37" s="15">
        <v>200</v>
      </c>
      <c r="D37" s="15">
        <v>200</v>
      </c>
      <c r="E37" s="15">
        <v>200</v>
      </c>
    </row>
    <row r="38" spans="1:5" x14ac:dyDescent="0.3">
      <c r="A38" s="14" t="s">
        <v>66</v>
      </c>
      <c r="B38" s="15">
        <v>0</v>
      </c>
      <c r="C38" s="15">
        <v>0</v>
      </c>
      <c r="D38" s="15">
        <v>1500</v>
      </c>
      <c r="E38" s="15">
        <v>1500</v>
      </c>
    </row>
    <row r="39" spans="1:5" x14ac:dyDescent="0.3">
      <c r="A39" s="14" t="s">
        <v>67</v>
      </c>
      <c r="B39" s="15">
        <v>0</v>
      </c>
      <c r="C39" s="15">
        <v>400</v>
      </c>
      <c r="D39" s="15">
        <v>400</v>
      </c>
      <c r="E39" s="15">
        <v>400</v>
      </c>
    </row>
    <row r="40" spans="1:5" x14ac:dyDescent="0.3">
      <c r="A40" s="22" t="s">
        <v>68</v>
      </c>
      <c r="B40" s="17">
        <f>SUM(B33:B39)</f>
        <v>0</v>
      </c>
      <c r="C40" s="17">
        <f>SUM(C33:C39)</f>
        <v>3700</v>
      </c>
      <c r="D40" s="17">
        <f>SUM(D33:D39)</f>
        <v>5200</v>
      </c>
      <c r="E40" s="17">
        <f>SUM(E33:E39)</f>
        <v>5200</v>
      </c>
    </row>
    <row r="41" spans="1:5" x14ac:dyDescent="0.3">
      <c r="A41" s="23" t="s">
        <v>69</v>
      </c>
      <c r="B41" s="24">
        <f>B40-B31</f>
        <v>-12180</v>
      </c>
      <c r="C41" s="24">
        <f>C40-C31</f>
        <v>2300</v>
      </c>
      <c r="D41" s="24">
        <f>D40-D31</f>
        <v>3800</v>
      </c>
      <c r="E41" s="24">
        <f>E40-E31</f>
        <v>3800</v>
      </c>
    </row>
    <row r="42" spans="1:5" x14ac:dyDescent="0.3">
      <c r="A42" s="23" t="s">
        <v>70</v>
      </c>
      <c r="B42" s="24">
        <f>B41</f>
        <v>-12180</v>
      </c>
      <c r="C42" s="24">
        <f>B42+C41</f>
        <v>-9880</v>
      </c>
      <c r="D42" s="24">
        <f>C42+D41</f>
        <v>-6080</v>
      </c>
      <c r="E42" s="24">
        <f>D42+E41</f>
        <v>-2280</v>
      </c>
    </row>
    <row r="43" spans="1:5" x14ac:dyDescent="0.3">
      <c r="A43" s="4" t="s">
        <v>71</v>
      </c>
      <c r="B43" s="25" t="s">
        <v>72</v>
      </c>
      <c r="C43" s="1">
        <f>(C42/ABS(B42))*100</f>
        <v>-81.116584564860432</v>
      </c>
      <c r="D43" s="1">
        <f>(D42/ABS(B42))*100</f>
        <v>-49.917898193760266</v>
      </c>
      <c r="E43" s="1">
        <f>(E42/ABS(C42))*100</f>
        <v>-23.076923076923077</v>
      </c>
    </row>
  </sheetData>
  <mergeCells count="8">
    <mergeCell ref="A32:E32"/>
    <mergeCell ref="A2:D2"/>
    <mergeCell ref="A11:D11"/>
    <mergeCell ref="A21:E21"/>
    <mergeCell ref="A1:D1"/>
    <mergeCell ref="A8:D8"/>
    <mergeCell ref="A15:D15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Analiza izvedivosti</vt:lpstr>
      <vt:lpstr>Analiza troškova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Ante Pavlović</cp:lastModifiedBy>
  <dcterms:created xsi:type="dcterms:W3CDTF">2026-04-20T17:51:16Z</dcterms:created>
  <dcterms:modified xsi:type="dcterms:W3CDTF">2026-04-20T18:01:36Z</dcterms:modified>
</cp:coreProperties>
</file>